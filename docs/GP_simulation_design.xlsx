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kai21_bath_ac_uk/Documents/Mech Eng/OHT data (Tobi Laux)/MAF_Bayesian-main/"/>
    </mc:Choice>
  </mc:AlternateContent>
  <xr:revisionPtr revIDLastSave="123" documentId="8_{11DDCEB0-5D01-A343-BF38-2C6C9858763C}" xr6:coauthVersionLast="47" xr6:coauthVersionMax="47" xr10:uidLastSave="{FB2D47C6-8FF8-5D45-A21A-32CC748F05D4}"/>
  <bookViews>
    <workbookView xWindow="2200" yWindow="1800" windowWidth="28040" windowHeight="17440" xr2:uid="{A5D33AF3-A118-6B42-BDDC-24E6C8FE8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F10" i="1"/>
  <c r="F9" i="1"/>
  <c r="F8" i="1"/>
  <c r="F7" i="1"/>
  <c r="F6" i="1"/>
  <c r="E10" i="1"/>
  <c r="G10" i="1" s="1"/>
  <c r="E9" i="1"/>
  <c r="G9" i="1" s="1"/>
  <c r="E8" i="1"/>
  <c r="G8" i="1" s="1"/>
  <c r="E7" i="1"/>
  <c r="G7" i="1" s="1"/>
  <c r="E6" i="1"/>
  <c r="G6" i="1" s="1"/>
</calcChain>
</file>

<file path=xl/sharedStrings.xml><?xml version="1.0" encoding="utf-8"?>
<sst xmlns="http://schemas.openxmlformats.org/spreadsheetml/2006/main" count="14" uniqueCount="13">
  <si>
    <t>Irene</t>
  </si>
  <si>
    <t>Hexcel</t>
  </si>
  <si>
    <t>sd</t>
  </si>
  <si>
    <t>Finite Element Simulation design</t>
  </si>
  <si>
    <t>Parameter</t>
  </si>
  <si>
    <t>E1</t>
  </si>
  <si>
    <t>E2</t>
  </si>
  <si>
    <t>v12</t>
  </si>
  <si>
    <t>v23</t>
  </si>
  <si>
    <t>G12</t>
  </si>
  <si>
    <t>range_min</t>
  </si>
  <si>
    <t>range_max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</si>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</sst>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1A87-57C9-9840-9C6D-B16914D1BC01}">
  <dimension ref="A4:H10"/>
  <sheetViews>
    <sheetView tabSelected="1" zoomScale="158" zoomScaleNormal="158" workbookViewId="0">
      <selection activeCell="C5" sqref="C5"/>
    </sheetView>
  </sheetViews>
  <sheetFormatPr baseColWidth="10" defaultRowHeight="16" x14ac:dyDescent="0.2"/>
  <cols>
    <col min="1" max="1" width="9.83203125" customWidth="1"/>
    <col min="2" max="2" width="8.6640625" customWidth="1"/>
    <col min="4" max="4" width="8.33203125" customWidth="1"/>
    <col min="5" max="5" width="10.1640625" customWidth="1"/>
    <col min="6" max="6" width="9.33203125" customWidth="1"/>
    <col min="7" max="7" width="8.6640625" customWidth="1"/>
    <col min="8" max="8" width="8.83203125" customWidth="1"/>
  </cols>
  <sheetData>
    <row r="4" spans="1:8" ht="17" thickBot="1" x14ac:dyDescent="0.25">
      <c r="A4" s="1" t="s">
        <v>3</v>
      </c>
      <c r="B4" s="1"/>
      <c r="C4" s="1"/>
      <c r="D4" s="1"/>
      <c r="E4" s="1"/>
      <c r="F4" s="1"/>
      <c r="G4" s="1"/>
      <c r="H4" s="1"/>
    </row>
    <row r="5" spans="1:8" ht="17" thickBot="1" x14ac:dyDescent="0.25">
      <c r="A5" s="2" t="s">
        <v>4</v>
      </c>
      <c r="B5" s="2" t="s">
        <v>0</v>
      </c>
      <c r="C5" s="3" t="s">
        <v>1</v>
      </c>
      <c r="D5" s="3" t="s">
        <v>2</v>
      </c>
      <c r="E5" s="4" t="s">
        <v>10</v>
      </c>
      <c r="F5" s="3" t="s">
        <v>11</v>
      </c>
      <c r="G5" s="4" t="s">
        <v>12</v>
      </c>
      <c r="H5" s="3" t="s">
        <v>2</v>
      </c>
    </row>
    <row r="6" spans="1:8" x14ac:dyDescent="0.2">
      <c r="A6" s="5" t="s">
        <v>5</v>
      </c>
      <c r="B6" s="6">
        <v>148800</v>
      </c>
      <c r="C6" s="15">
        <v>161000</v>
      </c>
      <c r="D6" s="7">
        <v>2000</v>
      </c>
      <c r="E6" s="11">
        <f>MIN(B6-2*D6,C6-2*D6)</f>
        <v>144800</v>
      </c>
      <c r="F6" s="15">
        <f>MAX(B6+2*D6,C6+2*D6)</f>
        <v>165000</v>
      </c>
      <c r="G6" s="11">
        <f>AVERAGE(E6:F6)</f>
        <v>154900</v>
      </c>
      <c r="H6" s="15">
        <f>(F6-G6)/2</f>
        <v>5050</v>
      </c>
    </row>
    <row r="7" spans="1:8" x14ac:dyDescent="0.2">
      <c r="A7" s="12" t="s">
        <v>6</v>
      </c>
      <c r="B7" s="12">
        <v>9190</v>
      </c>
      <c r="C7" s="13">
        <v>11380</v>
      </c>
      <c r="D7" s="13">
        <v>100</v>
      </c>
      <c r="E7" s="14">
        <f>MIN(B7-2*D7,C7-2*D7)</f>
        <v>8990</v>
      </c>
      <c r="F7" s="13">
        <f>MAX(B7+2*D7,C7+2*D7)</f>
        <v>11580</v>
      </c>
      <c r="G7" s="14">
        <f>AVERAGE(E7:F7)</f>
        <v>10285</v>
      </c>
      <c r="H7" s="13">
        <f>(F7-G7)/2</f>
        <v>647.5</v>
      </c>
    </row>
    <row r="8" spans="1:8" x14ac:dyDescent="0.2">
      <c r="A8" s="5" t="s">
        <v>7</v>
      </c>
      <c r="B8" s="5">
        <v>0.34</v>
      </c>
      <c r="C8" s="7">
        <v>0.32</v>
      </c>
      <c r="D8" s="7">
        <v>0.01</v>
      </c>
      <c r="E8" s="11">
        <f>MIN(B8-2*D8,C8-2*D8)</f>
        <v>0.3</v>
      </c>
      <c r="F8" s="7">
        <f>MAX(B8+2*D8,C8+2*D8)</f>
        <v>0.36000000000000004</v>
      </c>
      <c r="G8" s="11">
        <f>AVERAGE(E8:F8)</f>
        <v>0.33</v>
      </c>
      <c r="H8" s="7">
        <f>(F8-G8)/2</f>
        <v>1.5000000000000013E-2</v>
      </c>
    </row>
    <row r="9" spans="1:8" x14ac:dyDescent="0.2">
      <c r="A9" s="12" t="s">
        <v>8</v>
      </c>
      <c r="B9" s="12">
        <v>0.44</v>
      </c>
      <c r="C9" s="13">
        <v>0.43</v>
      </c>
      <c r="D9" s="13">
        <v>0.01</v>
      </c>
      <c r="E9" s="14">
        <f>MIN(B9-2*D9,C9-2*D9)</f>
        <v>0.41</v>
      </c>
      <c r="F9" s="13">
        <f>MAX(B9+2*D9,C9+2*D9)</f>
        <v>0.46</v>
      </c>
      <c r="G9" s="14">
        <f>AVERAGE(E9:F9)</f>
        <v>0.435</v>
      </c>
      <c r="H9" s="13">
        <f>(F9-G9)/2</f>
        <v>1.2500000000000011E-2</v>
      </c>
    </row>
    <row r="10" spans="1:8" ht="17" thickBot="1" x14ac:dyDescent="0.25">
      <c r="A10" s="8" t="s">
        <v>9</v>
      </c>
      <c r="B10" s="8">
        <v>5060</v>
      </c>
      <c r="C10" s="9">
        <v>5170</v>
      </c>
      <c r="D10" s="9">
        <v>70</v>
      </c>
      <c r="E10" s="10">
        <f>MIN(B10-2*D10,C10-2*D10)</f>
        <v>4920</v>
      </c>
      <c r="F10" s="9">
        <f>MAX(B10+2*D10,C10+2*D10)</f>
        <v>5310</v>
      </c>
      <c r="G10" s="10">
        <f>AVERAGE(E10:F10)</f>
        <v>5115</v>
      </c>
      <c r="H10" s="9">
        <f>(F10-G10)/2</f>
        <v>97.5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Anaya-Izquierdo</dc:creator>
  <cp:lastModifiedBy>Karim Anaya-Izquierdo</cp:lastModifiedBy>
  <dcterms:created xsi:type="dcterms:W3CDTF">2025-01-29T14:00:12Z</dcterms:created>
  <dcterms:modified xsi:type="dcterms:W3CDTF">2025-02-09T18:02:28Z</dcterms:modified>
</cp:coreProperties>
</file>